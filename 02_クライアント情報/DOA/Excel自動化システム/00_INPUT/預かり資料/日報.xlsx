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490" activeTab="23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</sheets>
  <calcPr calcId="144525"/>
</workbook>
</file>

<file path=xl/sharedStrings.xml><?xml version="1.0" encoding="utf-8"?>
<sst xmlns="http://schemas.openxmlformats.org/spreadsheetml/2006/main" count="603" uniqueCount="28">
  <si>
    <t>9月　　3日（　水　　）</t>
  </si>
  <si>
    <t>システム</t>
  </si>
  <si>
    <t>卓番</t>
  </si>
  <si>
    <t>指　同</t>
  </si>
  <si>
    <t>担当名</t>
  </si>
  <si>
    <t>客名</t>
  </si>
  <si>
    <t>小計</t>
  </si>
  <si>
    <t>会計</t>
  </si>
  <si>
    <t>現金</t>
  </si>
  <si>
    <t>カード</t>
  </si>
  <si>
    <t>売掛</t>
  </si>
  <si>
    <t>組数</t>
  </si>
  <si>
    <t>客数</t>
  </si>
  <si>
    <t>仕入れ</t>
  </si>
  <si>
    <t>日払い</t>
  </si>
  <si>
    <t>仕入れ先</t>
  </si>
  <si>
    <t>品名</t>
  </si>
  <si>
    <t>金額</t>
  </si>
  <si>
    <t>氏名</t>
  </si>
  <si>
    <t>在中金額</t>
  </si>
  <si>
    <t>総売り上げ</t>
  </si>
  <si>
    <t>総組数</t>
  </si>
  <si>
    <t>組</t>
  </si>
  <si>
    <t>客</t>
  </si>
  <si>
    <t>月　　日（　　　）</t>
  </si>
  <si>
    <t>場内</t>
  </si>
  <si>
    <t>ボトルバック</t>
  </si>
  <si>
    <t>○○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</si>
</sst>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2">
    <font>
      <sz val="11"/>
      <color theme="1"/>
      <name val="ＭＳ Ｐゴシック"/>
      <charset val="134"/>
      <scheme val="minor"/>
    </font>
    <font>
      <sz val="20"/>
      <color theme="1"/>
      <name val="ＭＳ Ｐゴシック"/>
      <charset val="134"/>
      <scheme val="minor"/>
    </font>
    <font>
      <sz val="12"/>
      <color theme="1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" borderId="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15" borderId="11" applyNumberFormat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1" fillId="19" borderId="12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haredStrings" Target="sharedStrings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D1" workbookViewId="0">
      <selection activeCell="F28" sqref="F28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9.18181818181818" customWidth="1"/>
    <col min="16" max="16" width="10.4545454545455" customWidth="1"/>
    <col min="17" max="17" width="12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0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</f>
        <v>0</v>
      </c>
      <c r="F27" s="8">
        <f>M23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Q1" sqref="Q1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2.2727272727273" customWidth="1"/>
    <col min="17" max="17" width="11.2727272727273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'1'!E26+H23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'1'!E27+L23</f>
        <v>0</v>
      </c>
      <c r="F27" s="8">
        <f>M23+'1'!F27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4545454545455" customWidth="1"/>
    <col min="17" max="17" width="12.7272727272727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H23+'2'!E26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L23+'2'!E27</f>
        <v>0</v>
      </c>
      <c r="F27" s="8">
        <f>M23+'2'!F27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2.0909090909091" customWidth="1"/>
    <col min="17" max="17" width="11.8181818181818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H23+'3'!E26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L23+'3'!E27</f>
        <v>0</v>
      </c>
      <c r="F27" s="8">
        <f>M23+'3'!F27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7272727272727" customWidth="1"/>
    <col min="17" max="17" width="12.0909090909091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H23+'4'!E26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L23+'4'!E27</f>
        <v>0</v>
      </c>
      <c r="F27" s="8">
        <f>M23+'4'!F27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2" customWidth="1"/>
    <col min="17" max="17" width="12.0909090909091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H23+'5'!E26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L23+'5'!E27</f>
        <v>0</v>
      </c>
      <c r="F27" s="8">
        <f>M23+'5'!F27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3" sqref="P3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6363636363636" customWidth="1"/>
    <col min="17" max="17" width="11.9090909090909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H23+'6'!E26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L23+'6'!E27</f>
        <v>0</v>
      </c>
      <c r="F27" s="8">
        <f>M23+'6'!F27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3" sqref="P3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5454545454545" customWidth="1"/>
    <col min="17" max="17" width="12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H23+'7'!E26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L23+'7'!E27</f>
        <v>0</v>
      </c>
      <c r="F27" s="8">
        <f>M23+'7'!F27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8181818181818" customWidth="1"/>
    <col min="17" max="17" width="11.5454545454545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H23+'8'!E26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L23+'8'!E27</f>
        <v>0</v>
      </c>
      <c r="F27" s="8">
        <f>M23+'8'!F27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O24" sqref="O2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4545454545455" customWidth="1"/>
    <col min="17" max="17" width="12.5454545454545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H23+'9'!E26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L23+'9'!E27</f>
        <v>0</v>
      </c>
      <c r="F27" s="8">
        <f>M23+'9'!F27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4545454545455" customWidth="1"/>
    <col min="17" max="17" width="12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H23+'10'!E26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L23+'10'!E27</f>
        <v>0</v>
      </c>
      <c r="F27" s="8">
        <f>M23+'10'!F27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6363636363636" customWidth="1"/>
    <col min="17" max="17" width="11.4545454545455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H23+'11'!E26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L23+'11'!E27</f>
        <v>0</v>
      </c>
      <c r="F27" s="8">
        <f>M23+'11'!F27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4545454545455" customWidth="1"/>
    <col min="17" max="17" width="11.1818181818182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H23+'12'!E26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L23+'12'!E27</f>
        <v>0</v>
      </c>
      <c r="F27" s="8">
        <f>M23+'12'!F27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Q1" sqref="Q$1:Q$1048576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3636363636364" customWidth="1"/>
    <col min="17" max="17" width="12.2727272727273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H23+'13'!E26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L23+'13'!E27</f>
        <v>0</v>
      </c>
      <c r="F27" s="8">
        <f>M23+'13'!F27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6363636363636" customWidth="1"/>
    <col min="17" max="17" width="12.4545454545455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H23+'14'!E26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L23+'14'!E27</f>
        <v>0</v>
      </c>
      <c r="F27" s="8">
        <f>M23+'14'!F27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6363636363636" customWidth="1"/>
    <col min="17" max="17" width="11.4545454545455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H23+'15'!E26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L23+'15'!E27</f>
        <v>0</v>
      </c>
      <c r="F27" s="8">
        <f>M23+'15'!F27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5454545454545" customWidth="1"/>
    <col min="17" max="17" width="11.8181818181818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H23+'16'!E26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L23+'16'!E27</f>
        <v>0</v>
      </c>
      <c r="F27" s="8">
        <f>M23+'16'!F27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Q1" sqref="Q$1:Q$1048576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4545454545455" customWidth="1"/>
    <col min="17" max="17" width="11.9090909090909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H23+'17'!E26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L23+'17'!E27</f>
        <v>0</v>
      </c>
      <c r="F27" s="8">
        <f>M23+'17'!F27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5454545454545" customWidth="1"/>
    <col min="17" max="17" width="11.6363636363636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H23+'18'!E26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L23+'18'!E27</f>
        <v>0</v>
      </c>
      <c r="F27" s="8">
        <f>M23+'18'!F27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3" sqref="P3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2727272727273" customWidth="1"/>
    <col min="17" max="17" width="11.7272727272727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H23+'19'!E26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L23+'19'!E27</f>
        <v>0</v>
      </c>
      <c r="F27" s="8">
        <f>M23+'19'!F27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Q1" sqref="Q$1:Q$1048576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4545454545455" customWidth="1"/>
    <col min="17" max="17" width="12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H23+'20'!E26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L23+'20'!E27</f>
        <v>0</v>
      </c>
      <c r="F27" s="8">
        <f>M23+'20'!F27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4" sqref="P4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7272727272727" customWidth="1"/>
    <col min="17" max="17" width="12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H23+'21'!E26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L23+'21'!E27</f>
        <v>0</v>
      </c>
      <c r="F27" s="8">
        <f>M23+'21'!F27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opLeftCell="B1" workbookViewId="0">
      <selection activeCell="P3" sqref="P3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10.5454545454545" customWidth="1"/>
    <col min="6" max="6" width="11.1818181818182" customWidth="1"/>
    <col min="7" max="7" width="10.6363636363636" customWidth="1"/>
    <col min="8" max="11" width="11.0909090909091" customWidth="1"/>
    <col min="12" max="13" width="6.54545454545455" customWidth="1"/>
    <col min="14" max="14" width="3.54545454545455" customWidth="1"/>
    <col min="15" max="15" width="10.4545454545455" customWidth="1"/>
    <col min="16" max="16" width="11.3636363636364" customWidth="1"/>
    <col min="17" max="17" width="12" customWidth="1"/>
    <col min="18" max="18" width="2.18181818181818" customWidth="1"/>
    <col min="19" max="19" width="10.0909090909091" customWidth="1"/>
    <col min="20" max="20" width="11.5454545454545" customWidth="1"/>
  </cols>
  <sheetData>
    <row r="1" ht="27" customHeight="1" spans="6:8">
      <c r="F1" s="1" t="s">
        <v>24</v>
      </c>
      <c r="G1" s="2"/>
      <c r="H1" s="2"/>
    </row>
    <row r="2" spans="1:1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O2" t="s">
        <v>13</v>
      </c>
      <c r="S2" t="s">
        <v>14</v>
      </c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 t="s">
        <v>15</v>
      </c>
      <c r="P3" s="3" t="s">
        <v>16</v>
      </c>
      <c r="Q3" s="3" t="s">
        <v>17</v>
      </c>
      <c r="S3" s="3" t="s">
        <v>18</v>
      </c>
      <c r="T3" s="3" t="s">
        <v>17</v>
      </c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</row>
    <row r="5" spans="1:20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S5" s="3"/>
      <c r="T5" s="3"/>
    </row>
    <row r="6" spans="1:20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3"/>
      <c r="P6" s="3"/>
      <c r="Q6" s="3"/>
      <c r="S6" s="3"/>
      <c r="T6" s="3"/>
    </row>
    <row r="7" spans="1:20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O7" s="3"/>
      <c r="P7" s="3"/>
      <c r="Q7" s="3"/>
      <c r="S7" s="3"/>
      <c r="T7" s="3"/>
    </row>
    <row r="8" spans="1:20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S8" s="3"/>
      <c r="T8" s="3"/>
    </row>
    <row r="9" spans="1:20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3"/>
      <c r="P9" s="3"/>
      <c r="Q9" s="3"/>
      <c r="S9" s="3"/>
      <c r="T9" s="3"/>
    </row>
    <row r="10" spans="1:20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S10" s="3"/>
      <c r="T10" s="3"/>
    </row>
    <row r="11" spans="1:20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S11" s="3"/>
      <c r="T11" s="3"/>
    </row>
    <row r="12" spans="1:20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  <c r="P12" s="3"/>
      <c r="Q12" s="3"/>
      <c r="S12" s="3"/>
      <c r="T12" s="3"/>
    </row>
    <row r="13" spans="1:20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O13" s="3"/>
      <c r="P13" s="3"/>
      <c r="Q13" s="3"/>
      <c r="S13" s="3"/>
      <c r="T13" s="3"/>
    </row>
    <row r="14" spans="1:20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Q14" s="3"/>
      <c r="S14" s="3"/>
      <c r="T14" s="3"/>
    </row>
    <row r="15" spans="1:20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S15" s="3"/>
      <c r="T15" s="3"/>
    </row>
    <row r="16" spans="1:20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S16" s="3"/>
      <c r="T16" s="3"/>
    </row>
    <row r="17" spans="1:20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S17" s="3"/>
      <c r="T17" s="3"/>
    </row>
    <row r="18" spans="1:20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S18" s="3"/>
      <c r="T18" s="3"/>
    </row>
    <row r="19" spans="1:20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S19" s="3"/>
      <c r="T19" s="3"/>
    </row>
    <row r="20" spans="1:20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</row>
    <row r="21" spans="1:20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</row>
    <row r="22" spans="1:20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S22" s="3"/>
      <c r="T22" s="3"/>
    </row>
    <row r="23" spans="8:20">
      <c r="H23">
        <f t="shared" ref="H23:M23" si="0">SUM(H3:H22)</f>
        <v>0</v>
      </c>
      <c r="I23">
        <f t="shared" si="0"/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Q23">
        <f>SUM(Q4:Q22)</f>
        <v>0</v>
      </c>
      <c r="T23">
        <f>SUM(T4:T22)</f>
        <v>0</v>
      </c>
    </row>
    <row r="25" ht="14" spans="2:7">
      <c r="B25" s="4" t="s">
        <v>19</v>
      </c>
      <c r="C25" s="4"/>
      <c r="D25" s="4"/>
      <c r="E25" s="4">
        <f>I23-Q23-T23</f>
        <v>0</v>
      </c>
      <c r="F25" s="4"/>
      <c r="G25" s="4"/>
    </row>
    <row r="26" ht="14" spans="2:7">
      <c r="B26" s="4" t="s">
        <v>20</v>
      </c>
      <c r="C26" s="4"/>
      <c r="D26" s="4"/>
      <c r="E26" s="4">
        <f>H23+'22'!E26</f>
        <v>0</v>
      </c>
      <c r="F26" s="4"/>
      <c r="G26" s="4"/>
    </row>
    <row r="27" ht="14" spans="2:6">
      <c r="B27" s="8" t="s">
        <v>21</v>
      </c>
      <c r="C27" s="8" t="s">
        <v>22</v>
      </c>
      <c r="D27" s="8" t="s">
        <v>23</v>
      </c>
      <c r="E27" s="8">
        <f>L23+'22'!E27</f>
        <v>0</v>
      </c>
      <c r="F27" s="8">
        <f>M23+'22'!F27</f>
        <v>0</v>
      </c>
    </row>
  </sheetData>
  <mergeCells count="5">
    <mergeCell ref="F1:H1"/>
    <mergeCell ref="B25:D25"/>
    <mergeCell ref="E25:G25"/>
    <mergeCell ref="B26:D26"/>
    <mergeCell ref="E26:G26"/>
  </mergeCells>
  <pageMargins left="0.75" right="0.75" top="1" bottom="1" header="0.5" footer="0.5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tabSelected="1" topLeftCell="A2" workbookViewId="0">
      <selection activeCell="A22" sqref="A22"/>
    </sheetView>
  </sheetViews>
  <sheetFormatPr defaultColWidth="8.72727272727273" defaultRowHeight="13"/>
  <cols>
    <col min="1" max="1" width="5.18181818181818" customWidth="1"/>
    <col min="2" max="2" width="8.27272727272727" customWidth="1"/>
    <col min="3" max="3" width="6.45454545454545" customWidth="1"/>
    <col min="4" max="4" width="7.09090909090909" customWidth="1"/>
    <col min="5" max="5" width="9.72727272727273" customWidth="1"/>
    <col min="6" max="6" width="10.5454545454545" customWidth="1"/>
    <col min="7" max="7" width="11.1818181818182" customWidth="1"/>
    <col min="8" max="8" width="10.6363636363636" customWidth="1"/>
    <col min="9" max="12" width="11.0909090909091" customWidth="1"/>
    <col min="13" max="14" width="6.54545454545455" customWidth="1"/>
    <col min="15" max="15" width="3.54545454545455" customWidth="1"/>
    <col min="16" max="16" width="10.4545454545455" customWidth="1"/>
    <col min="17" max="17" width="11.3636363636364" customWidth="1"/>
    <col min="18" max="18" width="11.9090909090909" customWidth="1"/>
    <col min="19" max="19" width="2.18181818181818" customWidth="1"/>
    <col min="20" max="20" width="10.0909090909091" customWidth="1"/>
    <col min="21" max="21" width="11.5454545454545" customWidth="1"/>
  </cols>
  <sheetData>
    <row r="1" ht="27" customHeight="1" spans="7:9">
      <c r="G1" s="1" t="s">
        <v>24</v>
      </c>
      <c r="H1" s="2"/>
      <c r="I1" s="2"/>
    </row>
    <row r="2" spans="1:20">
      <c r="A2" s="3"/>
      <c r="B2" s="3" t="s">
        <v>1</v>
      </c>
      <c r="C2" s="3" t="s">
        <v>2</v>
      </c>
      <c r="D2" s="3" t="s">
        <v>3</v>
      </c>
      <c r="E2" s="3" t="s">
        <v>25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P2" t="s">
        <v>13</v>
      </c>
      <c r="T2" t="s">
        <v>14</v>
      </c>
    </row>
    <row r="3" spans="1:21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P3" s="3" t="s">
        <v>15</v>
      </c>
      <c r="Q3" s="3" t="s">
        <v>16</v>
      </c>
      <c r="R3" s="3" t="s">
        <v>17</v>
      </c>
      <c r="T3" s="3" t="s">
        <v>18</v>
      </c>
      <c r="U3" s="3" t="s">
        <v>17</v>
      </c>
    </row>
    <row r="4" spans="1:21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P4" s="3"/>
      <c r="Q4" s="3"/>
      <c r="R4" s="3"/>
      <c r="T4" s="3"/>
      <c r="U4" s="3"/>
    </row>
    <row r="5" spans="1:21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P5" s="3"/>
      <c r="Q5" s="3"/>
      <c r="R5" s="3"/>
      <c r="T5" s="3"/>
      <c r="U5" s="3"/>
    </row>
    <row r="6" spans="1:21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P6" s="3"/>
      <c r="Q6" s="3"/>
      <c r="R6" s="3"/>
      <c r="T6" s="3"/>
      <c r="U6" s="3"/>
    </row>
    <row r="7" spans="1:21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P7" s="3"/>
      <c r="Q7" s="3"/>
      <c r="R7" s="3"/>
      <c r="T7" s="3"/>
      <c r="U7" s="3"/>
    </row>
    <row r="8" spans="1:21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P8" s="3"/>
      <c r="Q8" s="3"/>
      <c r="R8" s="3"/>
      <c r="T8" s="3"/>
      <c r="U8" s="3"/>
    </row>
    <row r="9" spans="1:21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P9" s="3"/>
      <c r="Q9" s="3"/>
      <c r="R9" s="3"/>
      <c r="T9" s="3"/>
      <c r="U9" s="3"/>
    </row>
    <row r="10" spans="1:21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P10" s="3"/>
      <c r="Q10" s="3"/>
      <c r="R10" s="3"/>
      <c r="T10" s="3"/>
      <c r="U10" s="3"/>
    </row>
    <row r="11" spans="1:21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P11" s="3"/>
      <c r="Q11" s="3"/>
      <c r="R11" s="3"/>
      <c r="T11" s="3"/>
      <c r="U11" s="3"/>
    </row>
    <row r="12" spans="1:21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P12" s="3"/>
      <c r="Q12" s="3"/>
      <c r="R12" s="3"/>
      <c r="T12" s="3"/>
      <c r="U12" s="3"/>
    </row>
    <row r="13" spans="1:21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P13" s="3"/>
      <c r="Q13" s="3"/>
      <c r="R13" s="3"/>
      <c r="T13" s="3"/>
      <c r="U13" s="3"/>
    </row>
    <row r="14" spans="1:21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P14" s="3"/>
      <c r="Q14" s="3"/>
      <c r="R14" s="3"/>
      <c r="T14" s="3"/>
      <c r="U14" s="3"/>
    </row>
    <row r="15" spans="1:21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P15" s="3"/>
      <c r="Q15" s="3"/>
      <c r="R15" s="3"/>
      <c r="T15" s="3"/>
      <c r="U15" s="3"/>
    </row>
    <row r="16" spans="1:21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P16" s="3"/>
      <c r="Q16" s="3"/>
      <c r="R16" s="3"/>
      <c r="T16" s="3"/>
      <c r="U16" s="3"/>
    </row>
    <row r="17" spans="1:21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P17" s="3"/>
      <c r="Q17" s="3"/>
      <c r="R17" s="3"/>
      <c r="T17" s="3"/>
      <c r="U17" s="3"/>
    </row>
    <row r="18" spans="1:21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P18" s="3"/>
      <c r="Q18" s="3"/>
      <c r="R18" s="3"/>
      <c r="T18" s="3"/>
      <c r="U18" s="3"/>
    </row>
    <row r="19" spans="1:21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P19" s="3"/>
      <c r="Q19" s="3"/>
      <c r="R19" s="3"/>
      <c r="T19" s="3"/>
      <c r="U19" s="3"/>
    </row>
    <row r="20" spans="1:21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P20" s="3"/>
      <c r="Q20" s="3"/>
      <c r="R20" s="3"/>
      <c r="T20" s="3"/>
      <c r="U20" s="3"/>
    </row>
    <row r="21" spans="1:21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P21" s="3"/>
      <c r="Q21" s="3"/>
      <c r="R21" s="3"/>
      <c r="T21" s="3"/>
      <c r="U21" s="3"/>
    </row>
    <row r="22" spans="1:21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P22" s="3"/>
      <c r="Q22" s="3"/>
      <c r="R22" s="3"/>
      <c r="T22" s="3"/>
      <c r="U22" s="3"/>
    </row>
    <row r="23" spans="9:21">
      <c r="I23">
        <f t="shared" ref="I23:N23" si="0">SUM(I3:I22)</f>
        <v>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N23">
        <f t="shared" si="0"/>
        <v>0</v>
      </c>
      <c r="R23">
        <f>SUM(R4:R22)</f>
        <v>0</v>
      </c>
      <c r="U23">
        <f>SUM(U4:U22)</f>
        <v>0</v>
      </c>
    </row>
    <row r="25" ht="14" spans="2:10">
      <c r="B25" s="4" t="s">
        <v>19</v>
      </c>
      <c r="C25" s="4"/>
      <c r="D25" s="4"/>
      <c r="E25" s="5">
        <f>J23-R23-U23</f>
        <v>0</v>
      </c>
      <c r="F25" s="6"/>
      <c r="G25" s="6"/>
      <c r="H25" s="7"/>
      <c r="J25" t="s">
        <v>26</v>
      </c>
    </row>
    <row r="26" ht="14" spans="2:11">
      <c r="B26" s="4" t="s">
        <v>20</v>
      </c>
      <c r="C26" s="4"/>
      <c r="D26" s="4"/>
      <c r="E26" s="5">
        <f>I23+'23'!E26</f>
        <v>0</v>
      </c>
      <c r="F26" s="6"/>
      <c r="G26" s="6"/>
      <c r="H26" s="7"/>
      <c r="J26" t="s">
        <v>27</v>
      </c>
      <c r="K26">
        <v>1</v>
      </c>
    </row>
    <row r="27" ht="14" spans="2:7">
      <c r="B27" s="8" t="s">
        <v>21</v>
      </c>
      <c r="C27" s="8" t="s">
        <v>22</v>
      </c>
      <c r="D27" s="8" t="s">
        <v>23</v>
      </c>
      <c r="E27" s="8"/>
      <c r="F27" s="8">
        <f>M23+'23'!E27</f>
        <v>0</v>
      </c>
      <c r="G27" s="8">
        <f>N23+'23'!F27</f>
        <v>0</v>
      </c>
    </row>
  </sheetData>
  <mergeCells count="5">
    <mergeCell ref="G1:I1"/>
    <mergeCell ref="B25:D25"/>
    <mergeCell ref="E25:H25"/>
    <mergeCell ref="B26:D26"/>
    <mergeCell ref="E26:H2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2025-08-21T13:23:00Z</dcterms:created>
  <dcterms:modified xsi:type="dcterms:W3CDTF">2025-10-24T11:26:42Z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